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Usuario\OneDrive\Documentos\AutomatizadorDocumentos\dados\"/>
    </mc:Choice>
  </mc:AlternateContent>
  <xr:revisionPtr revIDLastSave="0" documentId="13_ncr:1_{04E80FF0-F443-4FC6-BBE8-F27A1EC86AD4}" xr6:coauthVersionLast="47" xr6:coauthVersionMax="47" xr10:uidLastSave="{00000000-0000-0000-0000-000000000000}"/>
  <bookViews>
    <workbookView xWindow="5220" yWindow="0" windowWidth="15375" windowHeight="11070" xr2:uid="{00000000-000D-0000-FFFF-FFFF00000000}"/>
  </bookViews>
  <sheets>
    <sheet name="Plan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2" i="1" l="1"/>
  <c r="D3" i="1"/>
  <c r="D4" i="1"/>
  <c r="D5" i="1"/>
  <c r="D6" i="1"/>
  <c r="D7" i="1"/>
</calcChain>
</file>

<file path=xl/sharedStrings.xml><?xml version="1.0" encoding="utf-8"?>
<sst xmlns="http://schemas.openxmlformats.org/spreadsheetml/2006/main" count="143" uniqueCount="88">
  <si>
    <t>CLIENTE</t>
  </si>
  <si>
    <t>UF</t>
  </si>
  <si>
    <t>TIPO</t>
  </si>
  <si>
    <t>NUMERO_PREGAO</t>
  </si>
  <si>
    <t>FILIAL</t>
  </si>
  <si>
    <t>ENDERECO_FILIAL</t>
  </si>
  <si>
    <t>CNPJ</t>
  </si>
  <si>
    <t>SOCIO</t>
  </si>
  <si>
    <t>RG</t>
  </si>
  <si>
    <t>ORGAO_EXPEDIDOR</t>
  </si>
  <si>
    <t>CPF</t>
  </si>
  <si>
    <t>VALIDADE_PROPOSTA</t>
  </si>
  <si>
    <t>PRAZO_ENTREGA</t>
  </si>
  <si>
    <t>PAGAMENTO</t>
  </si>
  <si>
    <t>BANCO</t>
  </si>
  <si>
    <t>AGENCIA</t>
  </si>
  <si>
    <t>CONTA</t>
  </si>
  <si>
    <t>DATA_DISPUTA</t>
  </si>
  <si>
    <t>Prefeitura Municipal de Belo Horizonte</t>
  </si>
  <si>
    <t>Prefeitura Municipal de Contagem</t>
  </si>
  <si>
    <t>Prefeitura Municipal de Esmeraldas</t>
  </si>
  <si>
    <t>Policia Militar de Minas Gerais</t>
  </si>
  <si>
    <t>9003/2025</t>
  </si>
  <si>
    <t>012/2025</t>
  </si>
  <si>
    <t>90010/2025</t>
  </si>
  <si>
    <t>Emige Materiais Odontológicos LTDA</t>
  </si>
  <si>
    <t>Dental Maria</t>
  </si>
  <si>
    <t>71.505.564/0001-24</t>
  </si>
  <si>
    <t>00.000.000/0000-00</t>
  </si>
  <si>
    <t>00.500.000/0001-00</t>
  </si>
  <si>
    <t>01.001.001/0001-01</t>
  </si>
  <si>
    <t>Tarciane Vilaça Figueiredo</t>
  </si>
  <si>
    <t>Bruno Marra</t>
  </si>
  <si>
    <t>Giovanna Melo</t>
  </si>
  <si>
    <t>Regiane Borges</t>
  </si>
  <si>
    <t>111.222.333-44</t>
  </si>
  <si>
    <t>333.444.555-66</t>
  </si>
  <si>
    <t>999.000.111-22</t>
  </si>
  <si>
    <t>555.666.777-88</t>
  </si>
  <si>
    <t>60 dias</t>
  </si>
  <si>
    <t>90 dias</t>
  </si>
  <si>
    <t>180 dias</t>
  </si>
  <si>
    <t>30 dias</t>
  </si>
  <si>
    <t>60 dias uteis</t>
  </si>
  <si>
    <t>30 / 60 dias</t>
  </si>
  <si>
    <t>25 dias úteis</t>
  </si>
  <si>
    <t>Banco do Brasil</t>
  </si>
  <si>
    <t>Caixa Economica</t>
  </si>
  <si>
    <t>Bradesco</t>
  </si>
  <si>
    <t>Unibanco</t>
  </si>
  <si>
    <t>0001</t>
  </si>
  <si>
    <t>46466-1</t>
  </si>
  <si>
    <t>8599-4</t>
  </si>
  <si>
    <t>55155-55</t>
  </si>
  <si>
    <t>11233-44</t>
  </si>
  <si>
    <t>12345875698523156-6</t>
  </si>
  <si>
    <t>13/10/2025</t>
  </si>
  <si>
    <t>01/01/2025</t>
  </si>
  <si>
    <t>25/12/2024</t>
  </si>
  <si>
    <t>01/05/2025</t>
  </si>
  <si>
    <t>MG</t>
  </si>
  <si>
    <t>PR</t>
  </si>
  <si>
    <t>MS</t>
  </si>
  <si>
    <t>Pregão Presencial</t>
  </si>
  <si>
    <t>Dispensa de Licitação</t>
  </si>
  <si>
    <t>Estimativa</t>
  </si>
  <si>
    <t>Dental Universo</t>
  </si>
  <si>
    <t>Dental BH Brasil</t>
  </si>
  <si>
    <t>Rua Ere, nº 34 - Prado - Belo Horizonte MG</t>
  </si>
  <si>
    <t>MG-000.200-48</t>
  </si>
  <si>
    <t>MG-1.000.200-48</t>
  </si>
  <si>
    <t>MG-000.201.000-48</t>
  </si>
  <si>
    <t>MG-2.000.200-48</t>
  </si>
  <si>
    <t>SSP/PR</t>
  </si>
  <si>
    <t>SSP/MS</t>
  </si>
  <si>
    <t>SSP/MG</t>
  </si>
  <si>
    <t>10 DIAS</t>
  </si>
  <si>
    <t>24 HORAS</t>
  </si>
  <si>
    <t>DIA 21 APÓS A QUIZENA</t>
  </si>
  <si>
    <t>CARTA PROPOSTA</t>
  </si>
  <si>
    <t>NOME_DO_MODELO</t>
  </si>
  <si>
    <t>REPRESENTANTE LEGAL</t>
  </si>
  <si>
    <t>CAMINHO</t>
  </si>
  <si>
    <t>modelosPadrao/</t>
  </si>
  <si>
    <t>DECLARACAO</t>
  </si>
  <si>
    <t>TYPE</t>
  </si>
  <si>
    <t>.docx</t>
  </si>
  <si>
    <t>modelosEdital/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</si>
</sst>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7" fontId="0" fillId="0" borderId="0" xfId="0" applyNumberFormat="1"/>
    <xf numFmtId="0" fontId="0" fillId="0" borderId="0" xfId="0" quotePrefix="1"/>
    <xf numFmtId="4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7"/>
  <sheetViews>
    <sheetView tabSelected="1" workbookViewId="0">
      <selection activeCell="A7" sqref="A7"/>
    </sheetView>
  </sheetViews>
  <sheetFormatPr defaultRowHeight="15" x14ac:dyDescent="0.25"/>
  <cols>
    <col min="1" max="1" width="21.85546875" customWidth="1"/>
    <col min="2" max="2" width="21.7109375" bestFit="1" customWidth="1"/>
    <col min="3" max="3" width="5.7109375" bestFit="1" customWidth="1"/>
    <col min="4" max="4" width="41.7109375" bestFit="1" customWidth="1"/>
    <col min="5" max="5" width="36.28515625" bestFit="1" customWidth="1"/>
    <col min="6" max="6" width="3.7109375" bestFit="1" customWidth="1"/>
    <col min="7" max="7" width="19.5703125" bestFit="1" customWidth="1"/>
    <col min="8" max="8" width="17.5703125" bestFit="1" customWidth="1"/>
    <col min="9" max="9" width="34.140625" bestFit="1" customWidth="1"/>
    <col min="10" max="10" width="39" bestFit="1" customWidth="1"/>
    <col min="11" max="11" width="18" bestFit="1" customWidth="1"/>
    <col min="12" max="12" width="24.5703125" bestFit="1" customWidth="1"/>
    <col min="13" max="13" width="17.5703125" bestFit="1" customWidth="1"/>
    <col min="14" max="14" width="18.85546875" bestFit="1" customWidth="1"/>
    <col min="15" max="15" width="14" bestFit="1" customWidth="1"/>
    <col min="16" max="16" width="20.7109375" bestFit="1" customWidth="1"/>
    <col min="17" max="17" width="16.28515625" bestFit="1" customWidth="1"/>
    <col min="18" max="18" width="22.42578125" bestFit="1" customWidth="1"/>
    <col min="19" max="19" width="15.7109375" bestFit="1" customWidth="1"/>
    <col min="20" max="20" width="9" bestFit="1" customWidth="1"/>
    <col min="21" max="21" width="20" bestFit="1" customWidth="1"/>
    <col min="22" max="22" width="14.5703125" bestFit="1" customWidth="1"/>
  </cols>
  <sheetData>
    <row r="1" spans="1:22" x14ac:dyDescent="0.25">
      <c r="A1" t="s">
        <v>82</v>
      </c>
      <c r="B1" t="s">
        <v>84</v>
      </c>
      <c r="C1" t="s">
        <v>85</v>
      </c>
      <c r="D1" t="s">
        <v>80</v>
      </c>
      <c r="E1" t="s">
        <v>0</v>
      </c>
      <c r="F1" t="s">
        <v>1</v>
      </c>
      <c r="G1" t="s">
        <v>2</v>
      </c>
      <c r="H1" t="s">
        <v>3</v>
      </c>
      <c r="I1" t="s">
        <v>4</v>
      </c>
      <c r="J1" t="s">
        <v>5</v>
      </c>
      <c r="K1" t="s">
        <v>6</v>
      </c>
      <c r="L1" t="s">
        <v>7</v>
      </c>
      <c r="M1" t="s">
        <v>8</v>
      </c>
      <c r="N1" t="s">
        <v>9</v>
      </c>
      <c r="O1" t="s">
        <v>10</v>
      </c>
      <c r="P1" t="s">
        <v>11</v>
      </c>
      <c r="Q1" t="s">
        <v>12</v>
      </c>
      <c r="R1" t="s">
        <v>13</v>
      </c>
      <c r="S1" t="s">
        <v>14</v>
      </c>
      <c r="T1" t="s">
        <v>15</v>
      </c>
      <c r="U1" t="s">
        <v>16</v>
      </c>
      <c r="V1" t="s">
        <v>17</v>
      </c>
    </row>
    <row r="2" spans="1:22" x14ac:dyDescent="0.25">
      <c r="A2" t="s">
        <v>83</v>
      </c>
      <c r="B2" t="s">
        <v>79</v>
      </c>
      <c r="C2" t="s">
        <v>86</v>
      </c>
      <c r="D2" t="str">
        <f>A2&amp;B2&amp;C2</f>
        <v>modelosPadrao/CARTA PROPOSTA.docx</v>
      </c>
      <c r="E2" t="s">
        <v>18</v>
      </c>
      <c r="F2" t="s">
        <v>60</v>
      </c>
      <c r="G2" t="s">
        <v>63</v>
      </c>
      <c r="H2" t="s">
        <v>22</v>
      </c>
      <c r="I2" t="s">
        <v>25</v>
      </c>
      <c r="J2" t="s">
        <v>68</v>
      </c>
      <c r="K2" t="s">
        <v>27</v>
      </c>
      <c r="L2" t="s">
        <v>31</v>
      </c>
      <c r="M2" t="s">
        <v>69</v>
      </c>
      <c r="N2" t="s">
        <v>73</v>
      </c>
      <c r="O2" t="s">
        <v>35</v>
      </c>
      <c r="P2" t="s">
        <v>39</v>
      </c>
      <c r="Q2" t="s">
        <v>42</v>
      </c>
      <c r="R2" t="s">
        <v>42</v>
      </c>
      <c r="S2" t="s">
        <v>46</v>
      </c>
      <c r="T2" s="2" t="s">
        <v>50</v>
      </c>
      <c r="U2" t="s">
        <v>52</v>
      </c>
      <c r="V2" s="3" t="s">
        <v>56</v>
      </c>
    </row>
    <row r="3" spans="1:22" x14ac:dyDescent="0.25">
      <c r="A3" t="s">
        <v>83</v>
      </c>
      <c r="B3" t="s">
        <v>79</v>
      </c>
      <c r="C3" t="s">
        <v>86</v>
      </c>
      <c r="D3" t="str">
        <f>A3&amp;B3&amp;C3</f>
        <v>modelosPadrao/CARTA PROPOSTA.docx</v>
      </c>
      <c r="E3" t="s">
        <v>19</v>
      </c>
      <c r="F3" t="s">
        <v>61</v>
      </c>
      <c r="G3" t="s">
        <v>63</v>
      </c>
      <c r="H3" s="1" t="s">
        <v>23</v>
      </c>
      <c r="I3" t="s">
        <v>66</v>
      </c>
      <c r="J3" t="s">
        <v>68</v>
      </c>
      <c r="K3" t="s">
        <v>29</v>
      </c>
      <c r="L3" t="s">
        <v>32</v>
      </c>
      <c r="M3" t="s">
        <v>70</v>
      </c>
      <c r="N3" t="s">
        <v>75</v>
      </c>
      <c r="O3" t="s">
        <v>38</v>
      </c>
      <c r="P3" t="s">
        <v>40</v>
      </c>
      <c r="Q3" t="s">
        <v>43</v>
      </c>
      <c r="R3" t="s">
        <v>44</v>
      </c>
      <c r="S3" t="s">
        <v>47</v>
      </c>
      <c r="T3">
        <v>9654</v>
      </c>
      <c r="U3" t="s">
        <v>53</v>
      </c>
      <c r="V3" s="3" t="s">
        <v>57</v>
      </c>
    </row>
    <row r="4" spans="1:22" x14ac:dyDescent="0.25">
      <c r="A4" t="s">
        <v>83</v>
      </c>
      <c r="B4" t="s">
        <v>79</v>
      </c>
      <c r="C4" t="s">
        <v>86</v>
      </c>
      <c r="D4" t="str">
        <f>A4&amp;B4&amp;C4</f>
        <v>modelosPadrao/CARTA PROPOSTA.docx</v>
      </c>
      <c r="E4" t="s">
        <v>20</v>
      </c>
      <c r="F4" t="s">
        <v>62</v>
      </c>
      <c r="G4" t="s">
        <v>64</v>
      </c>
      <c r="H4">
        <v>9023546945</v>
      </c>
      <c r="I4" t="s">
        <v>26</v>
      </c>
      <c r="J4" t="s">
        <v>68</v>
      </c>
      <c r="K4" t="s">
        <v>28</v>
      </c>
      <c r="L4" t="s">
        <v>33</v>
      </c>
      <c r="M4" t="s">
        <v>71</v>
      </c>
      <c r="N4" t="s">
        <v>73</v>
      </c>
      <c r="O4" t="s">
        <v>37</v>
      </c>
      <c r="P4" t="s">
        <v>41</v>
      </c>
      <c r="Q4" t="s">
        <v>76</v>
      </c>
      <c r="R4" t="s">
        <v>45</v>
      </c>
      <c r="S4" t="s">
        <v>48</v>
      </c>
      <c r="T4" t="s">
        <v>51</v>
      </c>
      <c r="U4" t="s">
        <v>54</v>
      </c>
      <c r="V4" s="3" t="s">
        <v>58</v>
      </c>
    </row>
    <row r="5" spans="1:22" x14ac:dyDescent="0.25">
      <c r="A5" t="s">
        <v>83</v>
      </c>
      <c r="B5" t="s">
        <v>79</v>
      </c>
      <c r="C5" t="s">
        <v>86</v>
      </c>
      <c r="D5" t="str">
        <f>A5&amp;B5&amp;C5</f>
        <v>modelosPadrao/CARTA PROPOSTA.docx</v>
      </c>
      <c r="E5" t="s">
        <v>21</v>
      </c>
      <c r="F5" t="s">
        <v>60</v>
      </c>
      <c r="G5" t="s">
        <v>65</v>
      </c>
      <c r="H5" t="s">
        <v>24</v>
      </c>
      <c r="I5" t="s">
        <v>67</v>
      </c>
      <c r="J5" t="s">
        <v>68</v>
      </c>
      <c r="K5" t="s">
        <v>30</v>
      </c>
      <c r="L5" t="s">
        <v>34</v>
      </c>
      <c r="M5" t="s">
        <v>72</v>
      </c>
      <c r="N5" t="s">
        <v>74</v>
      </c>
      <c r="O5" t="s">
        <v>36</v>
      </c>
      <c r="P5" t="s">
        <v>42</v>
      </c>
      <c r="Q5" t="s">
        <v>77</v>
      </c>
      <c r="R5" t="s">
        <v>78</v>
      </c>
      <c r="S5" t="s">
        <v>49</v>
      </c>
      <c r="T5">
        <v>51258</v>
      </c>
      <c r="U5" t="s">
        <v>55</v>
      </c>
      <c r="V5" s="3" t="s">
        <v>59</v>
      </c>
    </row>
    <row r="6" spans="1:22" x14ac:dyDescent="0.25">
      <c r="A6" t="s">
        <v>87</v>
      </c>
      <c r="B6" t="s">
        <v>81</v>
      </c>
      <c r="C6" t="s">
        <v>86</v>
      </c>
      <c r="D6" t="str">
        <f>A6&amp;B6&amp;C6</f>
        <v>modelosEdital/REPRESENTANTE LEGAL.docx</v>
      </c>
      <c r="E6" t="s">
        <v>20</v>
      </c>
      <c r="F6" t="s">
        <v>62</v>
      </c>
      <c r="G6" t="s">
        <v>64</v>
      </c>
      <c r="H6">
        <v>9023546945</v>
      </c>
      <c r="I6" t="s">
        <v>26</v>
      </c>
      <c r="J6" t="s">
        <v>68</v>
      </c>
      <c r="K6" t="s">
        <v>28</v>
      </c>
      <c r="L6" t="s">
        <v>33</v>
      </c>
      <c r="M6" t="s">
        <v>71</v>
      </c>
      <c r="N6" t="s">
        <v>73</v>
      </c>
      <c r="O6" t="s">
        <v>37</v>
      </c>
      <c r="P6" t="s">
        <v>41</v>
      </c>
      <c r="Q6" t="s">
        <v>76</v>
      </c>
      <c r="R6" t="s">
        <v>45</v>
      </c>
      <c r="S6" t="s">
        <v>48</v>
      </c>
      <c r="T6" t="s">
        <v>51</v>
      </c>
      <c r="U6" t="s">
        <v>54</v>
      </c>
      <c r="V6" s="3" t="s">
        <v>58</v>
      </c>
    </row>
    <row r="7" spans="1:22" x14ac:dyDescent="0.25">
      <c r="A7" t="s">
        <v>87</v>
      </c>
      <c r="B7" t="s">
        <v>81</v>
      </c>
      <c r="C7" t="s">
        <v>86</v>
      </c>
      <c r="D7" t="str">
        <f>A7&amp;B7&amp;C7</f>
        <v>modelosEdital/REPRESENTANTE LEGAL.docx</v>
      </c>
      <c r="E7" t="s">
        <v>21</v>
      </c>
      <c r="F7" t="s">
        <v>60</v>
      </c>
      <c r="G7" t="s">
        <v>65</v>
      </c>
      <c r="H7" t="s">
        <v>24</v>
      </c>
      <c r="I7" t="s">
        <v>67</v>
      </c>
      <c r="J7" t="s">
        <v>68</v>
      </c>
      <c r="K7" t="s">
        <v>30</v>
      </c>
      <c r="L7" t="s">
        <v>34</v>
      </c>
      <c r="M7" t="s">
        <v>72</v>
      </c>
      <c r="N7" t="s">
        <v>74</v>
      </c>
      <c r="O7" t="s">
        <v>36</v>
      </c>
      <c r="P7" t="s">
        <v>42</v>
      </c>
      <c r="Q7" t="s">
        <v>77</v>
      </c>
      <c r="R7" t="s">
        <v>78</v>
      </c>
      <c r="S7" t="s">
        <v>49</v>
      </c>
      <c r="T7">
        <v>51258</v>
      </c>
      <c r="U7" t="s">
        <v>55</v>
      </c>
      <c r="V7" s="3" t="s">
        <v>59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Bruno Marra</dc:creator>
  <cp:lastModifiedBy>Bruno Marra</cp:lastModifiedBy>
  <dcterms:created xsi:type="dcterms:W3CDTF">2015-06-05T18:19:34Z</dcterms:created>
  <dcterms:modified xsi:type="dcterms:W3CDTF">2025-11-01T03:20:21Z</dcterms:modified>
</cp:coreProperties>
</file>